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>
    <definedName name="_xlnm._FilterDatabase" localSheetId="0" hidden="1">'Ventas'!$A$1:$M$61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$#,##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5" fontId="1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166" fontId="1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6" customWidth="1" min="5" max="5"/>
    <col width="12" customWidth="1" min="6" max="6"/>
    <col width="18" customWidth="1" min="7" max="7"/>
    <col width="20" customWidth="1" min="8" max="8"/>
    <col width="12" customWidth="1" min="9" max="9"/>
    <col width="10" customWidth="1" min="10" max="10"/>
    <col width="8" customWidth="1" min="11" max="11"/>
    <col width="11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Categoría</t>
        </is>
      </c>
      <c r="F1" s="1" t="inlineStr">
        <is>
          <t>Marca</t>
        </is>
      </c>
      <c r="G1" s="1" t="inlineStr">
        <is>
          <t>Vendedor</t>
        </is>
      </c>
      <c r="H1" s="1" t="inlineStr">
        <is>
          <t>Método de pago</t>
        </is>
      </c>
      <c r="I1" s="1" t="inlineStr">
        <is>
          <t>Precio</t>
        </is>
      </c>
      <c r="J1" s="1" t="inlineStr">
        <is>
          <t>Cantidad</t>
        </is>
      </c>
      <c r="K1" s="1" t="inlineStr">
        <is>
          <t>Stock</t>
        </is>
      </c>
      <c r="L1" s="1" t="inlineStr">
        <is>
          <t>Descuento</t>
        </is>
      </c>
      <c r="M1" s="1" t="inlineStr">
        <is>
          <t>Subtotal</t>
        </is>
      </c>
    </row>
    <row r="2">
      <c r="A2" s="2" t="inlineStr">
        <is>
          <t>V-0001</t>
        </is>
      </c>
      <c r="B2" s="3" t="n">
        <v>46104</v>
      </c>
      <c r="C2" s="2" t="inlineStr">
        <is>
          <t>Antofagasta</t>
        </is>
      </c>
      <c r="D2" s="2" t="inlineStr">
        <is>
          <t>Licuadora 600W</t>
        </is>
      </c>
      <c r="E2" s="2" t="inlineStr">
        <is>
          <t>Cocina</t>
        </is>
      </c>
      <c r="F2" s="2" t="inlineStr">
        <is>
          <t>Philips</t>
        </is>
      </c>
      <c r="G2" s="2" t="inlineStr">
        <is>
          <t>Javier Castro</t>
        </is>
      </c>
      <c r="H2" s="2" t="inlineStr">
        <is>
          <t>Tarjeta de crédito</t>
        </is>
      </c>
      <c r="I2" s="4" t="n">
        <v>29990</v>
      </c>
      <c r="J2" s="5" t="n">
        <v>1</v>
      </c>
      <c r="K2" s="5" t="n">
        <v>68</v>
      </c>
      <c r="L2" s="6" t="n">
        <v>0</v>
      </c>
      <c r="M2" s="7">
        <f>I2*J2*(1-L2)</f>
        <v/>
      </c>
    </row>
    <row r="3">
      <c r="A3" s="2" t="inlineStr">
        <is>
          <t>V-0002</t>
        </is>
      </c>
      <c r="B3" s="3" t="n">
        <v>46056</v>
      </c>
      <c r="C3" s="2" t="inlineStr">
        <is>
          <t>Biobío</t>
        </is>
      </c>
      <c r="D3" s="2" t="inlineStr">
        <is>
          <t>Licuadora 600W</t>
        </is>
      </c>
      <c r="E3" s="2" t="inlineStr">
        <is>
          <t>Cocina</t>
        </is>
      </c>
      <c r="F3" s="2" t="inlineStr">
        <is>
          <t>Philips</t>
        </is>
      </c>
      <c r="G3" s="2" t="inlineStr">
        <is>
          <t>Camila Rojas</t>
        </is>
      </c>
      <c r="H3" s="2" t="inlineStr">
        <is>
          <t>Tarjeta de crédito</t>
        </is>
      </c>
      <c r="I3" s="4" t="n">
        <v>29990</v>
      </c>
      <c r="J3" s="5" t="n">
        <v>4</v>
      </c>
      <c r="K3" s="5" t="n">
        <v>53</v>
      </c>
      <c r="L3" s="6" t="n">
        <v>0</v>
      </c>
      <c r="M3" s="7">
        <f>I3*J3*(1-L3)</f>
        <v/>
      </c>
    </row>
    <row r="4">
      <c r="A4" s="2" t="inlineStr">
        <is>
          <t>V-0003</t>
        </is>
      </c>
      <c r="B4" s="3" t="n">
        <v>46073</v>
      </c>
      <c r="C4" s="2" t="inlineStr">
        <is>
          <t>Antofagasta</t>
        </is>
      </c>
      <c r="D4" s="2" t="inlineStr">
        <is>
          <t>Cocina a Gas 4 Platos</t>
        </is>
      </c>
      <c r="E4" s="2" t="inlineStr">
        <is>
          <t>Cocina</t>
        </is>
      </c>
      <c r="F4" s="2" t="inlineStr">
        <is>
          <t>Mademsa</t>
        </is>
      </c>
      <c r="G4" s="2" t="inlineStr">
        <is>
          <t>Camila Rojas</t>
        </is>
      </c>
      <c r="H4" s="2" t="inlineStr">
        <is>
          <t>Tarjeta de crédito</t>
        </is>
      </c>
      <c r="I4" s="4" t="n">
        <v>189990</v>
      </c>
      <c r="J4" s="5" t="n">
        <v>2</v>
      </c>
      <c r="K4" s="5" t="n">
        <v>80</v>
      </c>
      <c r="L4" s="6" t="n">
        <v>0.15</v>
      </c>
      <c r="M4" s="7">
        <f>I4*J4*(1-L4)</f>
        <v/>
      </c>
    </row>
    <row r="5">
      <c r="A5" s="2" t="inlineStr">
        <is>
          <t>V-0004</t>
        </is>
      </c>
      <c r="B5" s="3" t="n">
        <v>46058</v>
      </c>
      <c r="C5" s="2" t="inlineStr">
        <is>
          <t>Antofagasta</t>
        </is>
      </c>
      <c r="D5" s="2" t="inlineStr">
        <is>
          <t>Hervidor Eléctrico 1.7L</t>
        </is>
      </c>
      <c r="E5" s="2" t="inlineStr">
        <is>
          <t>Cocina</t>
        </is>
      </c>
      <c r="F5" s="2" t="inlineStr">
        <is>
          <t>Oster</t>
        </is>
      </c>
      <c r="G5" s="2" t="inlineStr">
        <is>
          <t>Camila Rojas</t>
        </is>
      </c>
      <c r="H5" s="2" t="inlineStr">
        <is>
          <t>Tarjeta de débito</t>
        </is>
      </c>
      <c r="I5" s="4" t="n">
        <v>19990</v>
      </c>
      <c r="J5" s="5" t="n">
        <v>1</v>
      </c>
      <c r="K5" s="5" t="n">
        <v>71</v>
      </c>
      <c r="L5" s="6" t="n">
        <v>0</v>
      </c>
      <c r="M5" s="7">
        <f>I5*J5*(1-L5)</f>
        <v/>
      </c>
    </row>
    <row r="6">
      <c r="A6" s="2" t="inlineStr">
        <is>
          <t>V-0005</t>
        </is>
      </c>
      <c r="B6" s="3" t="n">
        <v>46241</v>
      </c>
      <c r="C6" s="2" t="inlineStr">
        <is>
          <t>Metropolitana</t>
        </is>
      </c>
      <c r="D6" s="2" t="inlineStr">
        <is>
          <t>Aspiradora Robot</t>
        </is>
      </c>
      <c r="E6" s="2" t="inlineStr">
        <is>
          <t>Limpieza</t>
        </is>
      </c>
      <c r="F6" s="2" t="inlineStr">
        <is>
          <t>Xiaomi</t>
        </is>
      </c>
      <c r="G6" s="2" t="inlineStr">
        <is>
          <t>Francisca Díaz</t>
        </is>
      </c>
      <c r="H6" s="2" t="inlineStr">
        <is>
          <t>Tarjeta de crédito</t>
        </is>
      </c>
      <c r="I6" s="4" t="n">
        <v>149990</v>
      </c>
      <c r="J6" s="5" t="n">
        <v>5</v>
      </c>
      <c r="K6" s="5" t="n">
        <v>39</v>
      </c>
      <c r="L6" s="6" t="n">
        <v>0.1</v>
      </c>
      <c r="M6" s="7">
        <f>I6*J6*(1-L6)</f>
        <v/>
      </c>
    </row>
    <row r="7">
      <c r="A7" s="2" t="inlineStr">
        <is>
          <t>V-0006</t>
        </is>
      </c>
      <c r="B7" s="3" t="n">
        <v>46119</v>
      </c>
      <c r="C7" s="2" t="inlineStr">
        <is>
          <t>Valparaíso</t>
        </is>
      </c>
      <c r="D7" s="2" t="inlineStr">
        <is>
          <t>Secadora 9kg</t>
        </is>
      </c>
      <c r="E7" s="2" t="inlineStr">
        <is>
          <t>Lavado</t>
        </is>
      </c>
      <c r="F7" s="2" t="inlineStr">
        <is>
          <t>Whirlpool</t>
        </is>
      </c>
      <c r="G7" s="2" t="inlineStr">
        <is>
          <t>Francisca Díaz</t>
        </is>
      </c>
      <c r="H7" s="2" t="inlineStr">
        <is>
          <t>Tarjeta de débito</t>
        </is>
      </c>
      <c r="I7" s="4" t="n">
        <v>379990</v>
      </c>
      <c r="J7" s="5" t="n">
        <v>3</v>
      </c>
      <c r="K7" s="5" t="n">
        <v>12</v>
      </c>
      <c r="L7" s="6" t="n">
        <v>0.1</v>
      </c>
      <c r="M7" s="7">
        <f>I7*J7*(1-L7)</f>
        <v/>
      </c>
    </row>
    <row r="8">
      <c r="A8" s="2" t="inlineStr">
        <is>
          <t>V-0007</t>
        </is>
      </c>
      <c r="B8" s="3" t="n">
        <v>46059</v>
      </c>
      <c r="C8" s="2" t="inlineStr">
        <is>
          <t>Arica y Parinacota</t>
        </is>
      </c>
      <c r="D8" s="2" t="inlineStr">
        <is>
          <t>Plancha a Vapor</t>
        </is>
      </c>
      <c r="E8" s="2" t="inlineStr">
        <is>
          <t>Cuidado de ropa</t>
        </is>
      </c>
      <c r="F8" s="2" t="inlineStr">
        <is>
          <t>Philips</t>
        </is>
      </c>
      <c r="G8" s="2" t="inlineStr">
        <is>
          <t>Francisca Díaz</t>
        </is>
      </c>
      <c r="H8" s="2" t="inlineStr">
        <is>
          <t>Tarjeta de débito</t>
        </is>
      </c>
      <c r="I8" s="4" t="n">
        <v>24990</v>
      </c>
      <c r="J8" s="5" t="n">
        <v>4</v>
      </c>
      <c r="K8" s="5" t="n">
        <v>68</v>
      </c>
      <c r="L8" s="6" t="n">
        <v>0.05</v>
      </c>
      <c r="M8" s="7">
        <f>I8*J8*(1-L8)</f>
        <v/>
      </c>
    </row>
    <row r="9">
      <c r="A9" s="2" t="inlineStr">
        <is>
          <t>V-0008</t>
        </is>
      </c>
      <c r="B9" s="3" t="n">
        <v>46265</v>
      </c>
      <c r="C9" s="2" t="inlineStr">
        <is>
          <t>Coquimbo</t>
        </is>
      </c>
      <c r="D9" s="2" t="inlineStr">
        <is>
          <t>Licuadora 600W</t>
        </is>
      </c>
      <c r="E9" s="2" t="inlineStr">
        <is>
          <t>Cocina</t>
        </is>
      </c>
      <c r="F9" s="2" t="inlineStr">
        <is>
          <t>Philips</t>
        </is>
      </c>
      <c r="G9" s="2" t="inlineStr">
        <is>
          <t>Valentina Pérez</t>
        </is>
      </c>
      <c r="H9" s="2" t="inlineStr">
        <is>
          <t>Transferencia</t>
        </is>
      </c>
      <c r="I9" s="4" t="n">
        <v>29990</v>
      </c>
      <c r="J9" s="5" t="n">
        <v>2</v>
      </c>
      <c r="K9" s="5" t="n">
        <v>23</v>
      </c>
      <c r="L9" s="6" t="n">
        <v>0.15</v>
      </c>
      <c r="M9" s="7">
        <f>I9*J9*(1-L9)</f>
        <v/>
      </c>
    </row>
    <row r="10">
      <c r="A10" s="2" t="inlineStr">
        <is>
          <t>V-0009</t>
        </is>
      </c>
      <c r="B10" s="3" t="n">
        <v>46068</v>
      </c>
      <c r="C10" s="2" t="inlineStr">
        <is>
          <t>Araucanía</t>
        </is>
      </c>
      <c r="D10" s="2" t="inlineStr">
        <is>
          <t>Cocina a Gas 4 Platos</t>
        </is>
      </c>
      <c r="E10" s="2" t="inlineStr">
        <is>
          <t>Cocina</t>
        </is>
      </c>
      <c r="F10" s="2" t="inlineStr">
        <is>
          <t>Mademsa</t>
        </is>
      </c>
      <c r="G10" s="2" t="inlineStr">
        <is>
          <t>Francisca Díaz</t>
        </is>
      </c>
      <c r="H10" s="2" t="inlineStr">
        <is>
          <t>Efectivo</t>
        </is>
      </c>
      <c r="I10" s="4" t="n">
        <v>189990</v>
      </c>
      <c r="J10" s="5" t="n">
        <v>3</v>
      </c>
      <c r="K10" s="5" t="n">
        <v>57</v>
      </c>
      <c r="L10" s="6" t="n">
        <v>0</v>
      </c>
      <c r="M10" s="7">
        <f>I10*J10*(1-L10)</f>
        <v/>
      </c>
    </row>
    <row r="11">
      <c r="A11" s="2" t="inlineStr">
        <is>
          <t>V-0010</t>
        </is>
      </c>
      <c r="B11" s="3" t="n">
        <v>46064</v>
      </c>
      <c r="C11" s="2" t="inlineStr">
        <is>
          <t>Valparaíso</t>
        </is>
      </c>
      <c r="D11" s="2" t="inlineStr">
        <is>
          <t>Hervidor Eléctrico 1.7L</t>
        </is>
      </c>
      <c r="E11" s="2" t="inlineStr">
        <is>
          <t>Cocina</t>
        </is>
      </c>
      <c r="F11" s="2" t="inlineStr">
        <is>
          <t>Oster</t>
        </is>
      </c>
      <c r="G11" s="2" t="inlineStr">
        <is>
          <t>Francisca Díaz</t>
        </is>
      </c>
      <c r="H11" s="2" t="inlineStr">
        <is>
          <t>Efectivo</t>
        </is>
      </c>
      <c r="I11" s="4" t="n">
        <v>19990</v>
      </c>
      <c r="J11" s="5" t="n">
        <v>2</v>
      </c>
      <c r="K11" s="5" t="n">
        <v>43</v>
      </c>
      <c r="L11" s="6" t="n">
        <v>0</v>
      </c>
      <c r="M11" s="7">
        <f>I11*J11*(1-L11)</f>
        <v/>
      </c>
    </row>
    <row r="12">
      <c r="A12" s="2" t="inlineStr">
        <is>
          <t>V-0011</t>
        </is>
      </c>
      <c r="B12" s="3" t="n">
        <v>46242</v>
      </c>
      <c r="C12" s="2" t="inlineStr">
        <is>
          <t>Arica y Parinacota</t>
        </is>
      </c>
      <c r="D12" s="2" t="inlineStr">
        <is>
          <t>Freidora de Aire 5L</t>
        </is>
      </c>
      <c r="E12" s="2" t="inlineStr">
        <is>
          <t>Cocina</t>
        </is>
      </c>
      <c r="F12" s="2" t="inlineStr">
        <is>
          <t>Ariete</t>
        </is>
      </c>
      <c r="G12" s="2" t="inlineStr">
        <is>
          <t>Javier Castro</t>
        </is>
      </c>
      <c r="H12" s="2" t="inlineStr">
        <is>
          <t>Tarjeta de crédito</t>
        </is>
      </c>
      <c r="I12" s="4" t="n">
        <v>59990</v>
      </c>
      <c r="J12" s="5" t="n">
        <v>5</v>
      </c>
      <c r="K12" s="5" t="n">
        <v>73</v>
      </c>
      <c r="L12" s="6" t="n">
        <v>0</v>
      </c>
      <c r="M12" s="7">
        <f>I12*J12*(1-L12)</f>
        <v/>
      </c>
    </row>
    <row r="13">
      <c r="A13" s="2" t="inlineStr">
        <is>
          <t>V-0012</t>
        </is>
      </c>
      <c r="B13" s="3" t="n">
        <v>46206</v>
      </c>
      <c r="C13" s="2" t="inlineStr">
        <is>
          <t>Coquimbo</t>
        </is>
      </c>
      <c r="D13" s="2" t="inlineStr">
        <is>
          <t>Licuadora 600W</t>
        </is>
      </c>
      <c r="E13" s="2" t="inlineStr">
        <is>
          <t>Cocina</t>
        </is>
      </c>
      <c r="F13" s="2" t="inlineStr">
        <is>
          <t>Philips</t>
        </is>
      </c>
      <c r="G13" s="2" t="inlineStr">
        <is>
          <t>Francisca Díaz</t>
        </is>
      </c>
      <c r="H13" s="2" t="inlineStr">
        <is>
          <t>Efectivo</t>
        </is>
      </c>
      <c r="I13" s="4" t="n">
        <v>29990</v>
      </c>
      <c r="J13" s="5" t="n">
        <v>1</v>
      </c>
      <c r="K13" s="5" t="n">
        <v>11</v>
      </c>
      <c r="L13" s="6" t="n">
        <v>0</v>
      </c>
      <c r="M13" s="7">
        <f>I13*J13*(1-L13)</f>
        <v/>
      </c>
    </row>
    <row r="14">
      <c r="A14" s="2" t="inlineStr">
        <is>
          <t>V-0013</t>
        </is>
      </c>
      <c r="B14" s="3" t="n">
        <v>46060</v>
      </c>
      <c r="C14" s="2" t="inlineStr">
        <is>
          <t>Arica y Parinacota</t>
        </is>
      </c>
      <c r="D14" s="2" t="inlineStr">
        <is>
          <t>Freidora de Aire 5L</t>
        </is>
      </c>
      <c r="E14" s="2" t="inlineStr">
        <is>
          <t>Cocina</t>
        </is>
      </c>
      <c r="F14" s="2" t="inlineStr">
        <is>
          <t>Ariete</t>
        </is>
      </c>
      <c r="G14" s="2" t="inlineStr">
        <is>
          <t>Javier Castro</t>
        </is>
      </c>
      <c r="H14" s="2" t="inlineStr">
        <is>
          <t>Transferencia</t>
        </is>
      </c>
      <c r="I14" s="4" t="n">
        <v>59990</v>
      </c>
      <c r="J14" s="5" t="n">
        <v>6</v>
      </c>
      <c r="K14" s="5" t="n">
        <v>73</v>
      </c>
      <c r="L14" s="6" t="n">
        <v>0.15</v>
      </c>
      <c r="M14" s="7">
        <f>I14*J14*(1-L14)</f>
        <v/>
      </c>
    </row>
    <row r="15">
      <c r="A15" s="2" t="inlineStr">
        <is>
          <t>V-0014</t>
        </is>
      </c>
      <c r="B15" s="3" t="n">
        <v>46172</v>
      </c>
      <c r="C15" s="2" t="inlineStr">
        <is>
          <t>Antofagasta</t>
        </is>
      </c>
      <c r="D15" s="2" t="inlineStr">
        <is>
          <t>Freidora de Aire 5L</t>
        </is>
      </c>
      <c r="E15" s="2" t="inlineStr">
        <is>
          <t>Cocina</t>
        </is>
      </c>
      <c r="F15" s="2" t="inlineStr">
        <is>
          <t>Ariete</t>
        </is>
      </c>
      <c r="G15" s="2" t="inlineStr">
        <is>
          <t>Javier Castro</t>
        </is>
      </c>
      <c r="H15" s="2" t="inlineStr">
        <is>
          <t>Transferencia</t>
        </is>
      </c>
      <c r="I15" s="4" t="n">
        <v>59990</v>
      </c>
      <c r="J15" s="5" t="n">
        <v>1</v>
      </c>
      <c r="K15" s="5" t="n">
        <v>59</v>
      </c>
      <c r="L15" s="6" t="n">
        <v>0</v>
      </c>
      <c r="M15" s="7">
        <f>I15*J15*(1-L15)</f>
        <v/>
      </c>
    </row>
    <row r="16">
      <c r="A16" s="2" t="inlineStr">
        <is>
          <t>V-0015</t>
        </is>
      </c>
      <c r="B16" s="3" t="n">
        <v>46086</v>
      </c>
      <c r="C16" s="2" t="inlineStr">
        <is>
          <t>Coquimbo</t>
        </is>
      </c>
      <c r="D16" s="2" t="inlineStr">
        <is>
          <t>Microondas 25L</t>
        </is>
      </c>
      <c r="E16" s="2" t="inlineStr">
        <is>
          <t>Cocina</t>
        </is>
      </c>
      <c r="F16" s="2" t="inlineStr">
        <is>
          <t>Oster</t>
        </is>
      </c>
      <c r="G16" s="2" t="inlineStr">
        <is>
          <t>Camila Rojas</t>
        </is>
      </c>
      <c r="H16" s="2" t="inlineStr">
        <is>
          <t>Tarjeta de débito</t>
        </is>
      </c>
      <c r="I16" s="4" t="n">
        <v>69990</v>
      </c>
      <c r="J16" s="5" t="n">
        <v>3</v>
      </c>
      <c r="K16" s="5" t="n">
        <v>16</v>
      </c>
      <c r="L16" s="6" t="n">
        <v>0.15</v>
      </c>
      <c r="M16" s="7">
        <f>I16*J16*(1-L16)</f>
        <v/>
      </c>
    </row>
    <row r="17">
      <c r="A17" s="2" t="inlineStr">
        <is>
          <t>V-0016</t>
        </is>
      </c>
      <c r="B17" s="3" t="n">
        <v>46230</v>
      </c>
      <c r="C17" s="2" t="inlineStr">
        <is>
          <t>Antofagasta</t>
        </is>
      </c>
      <c r="D17" s="2" t="inlineStr">
        <is>
          <t>Cocina a Gas 4 Platos</t>
        </is>
      </c>
      <c r="E17" s="2" t="inlineStr">
        <is>
          <t>Cocina</t>
        </is>
      </c>
      <c r="F17" s="2" t="inlineStr">
        <is>
          <t>Mademsa</t>
        </is>
      </c>
      <c r="G17" s="2" t="inlineStr">
        <is>
          <t>Matías Muñoz</t>
        </is>
      </c>
      <c r="H17" s="2" t="inlineStr">
        <is>
          <t>Tarjeta de crédito</t>
        </is>
      </c>
      <c r="I17" s="4" t="n">
        <v>189990</v>
      </c>
      <c r="J17" s="5" t="n">
        <v>2</v>
      </c>
      <c r="K17" s="5" t="n">
        <v>57</v>
      </c>
      <c r="L17" s="6" t="n">
        <v>0.05</v>
      </c>
      <c r="M17" s="7">
        <f>I17*J17*(1-L17)</f>
        <v/>
      </c>
    </row>
    <row r="18">
      <c r="A18" s="2" t="inlineStr">
        <is>
          <t>V-0017</t>
        </is>
      </c>
      <c r="B18" s="3" t="n">
        <v>46169</v>
      </c>
      <c r="C18" s="2" t="inlineStr">
        <is>
          <t>Metropolitana</t>
        </is>
      </c>
      <c r="D18" s="2" t="inlineStr">
        <is>
          <t>Lavavajillas 12 Puestos</t>
        </is>
      </c>
      <c r="E18" s="2" t="inlineStr">
        <is>
          <t>Lavado</t>
        </is>
      </c>
      <c r="F18" s="2" t="inlineStr">
        <is>
          <t>Bosch</t>
        </is>
      </c>
      <c r="G18" s="2" t="inlineStr">
        <is>
          <t>Matías Muñoz</t>
        </is>
      </c>
      <c r="H18" s="2" t="inlineStr">
        <is>
          <t>Transferencia</t>
        </is>
      </c>
      <c r="I18" s="4" t="n">
        <v>449990</v>
      </c>
      <c r="J18" s="5" t="n">
        <v>6</v>
      </c>
      <c r="K18" s="5" t="n">
        <v>53</v>
      </c>
      <c r="L18" s="6" t="n">
        <v>0</v>
      </c>
      <c r="M18" s="7">
        <f>I18*J18*(1-L18)</f>
        <v/>
      </c>
    </row>
    <row r="19">
      <c r="A19" s="2" t="inlineStr">
        <is>
          <t>V-0018</t>
        </is>
      </c>
      <c r="B19" s="3" t="n">
        <v>46221</v>
      </c>
      <c r="C19" s="2" t="inlineStr">
        <is>
          <t>Biobío</t>
        </is>
      </c>
      <c r="D19" s="2" t="inlineStr">
        <is>
          <t>Secadora 9kg</t>
        </is>
      </c>
      <c r="E19" s="2" t="inlineStr">
        <is>
          <t>Lavado</t>
        </is>
      </c>
      <c r="F19" s="2" t="inlineStr">
        <is>
          <t>Whirlpool</t>
        </is>
      </c>
      <c r="G19" s="2" t="inlineStr">
        <is>
          <t>Diego Soto</t>
        </is>
      </c>
      <c r="H19" s="2" t="inlineStr">
        <is>
          <t>Tarjeta de crédito</t>
        </is>
      </c>
      <c r="I19" s="4" t="n">
        <v>379990</v>
      </c>
      <c r="J19" s="5" t="n">
        <v>2</v>
      </c>
      <c r="K19" s="5" t="n">
        <v>19</v>
      </c>
      <c r="L19" s="6" t="n">
        <v>0</v>
      </c>
      <c r="M19" s="7">
        <f>I19*J19*(1-L19)</f>
        <v/>
      </c>
    </row>
    <row r="20">
      <c r="A20" s="2" t="inlineStr">
        <is>
          <t>V-0019</t>
        </is>
      </c>
      <c r="B20" s="3" t="n">
        <v>46146</v>
      </c>
      <c r="C20" s="2" t="inlineStr">
        <is>
          <t>Arica y Parinacota</t>
        </is>
      </c>
      <c r="D20" s="2" t="inlineStr">
        <is>
          <t>Secadora 9kg</t>
        </is>
      </c>
      <c r="E20" s="2" t="inlineStr">
        <is>
          <t>Lavado</t>
        </is>
      </c>
      <c r="F20" s="2" t="inlineStr">
        <is>
          <t>Whirlpool</t>
        </is>
      </c>
      <c r="G20" s="2" t="inlineStr">
        <is>
          <t>Matías Muñoz</t>
        </is>
      </c>
      <c r="H20" s="2" t="inlineStr">
        <is>
          <t>Tarjeta de débito</t>
        </is>
      </c>
      <c r="I20" s="4" t="n">
        <v>379990</v>
      </c>
      <c r="J20" s="5" t="n">
        <v>3</v>
      </c>
      <c r="K20" s="5" t="n">
        <v>36</v>
      </c>
      <c r="L20" s="6" t="n">
        <v>0</v>
      </c>
      <c r="M20" s="7">
        <f>I20*J20*(1-L20)</f>
        <v/>
      </c>
    </row>
    <row r="21">
      <c r="A21" s="2" t="inlineStr">
        <is>
          <t>V-0020</t>
        </is>
      </c>
      <c r="B21" s="3" t="n">
        <v>46241</v>
      </c>
      <c r="C21" s="2" t="inlineStr">
        <is>
          <t>Los Lagos</t>
        </is>
      </c>
      <c r="D21" s="2" t="inlineStr">
        <is>
          <t>Microondas 25L</t>
        </is>
      </c>
      <c r="E21" s="2" t="inlineStr">
        <is>
          <t>Cocina</t>
        </is>
      </c>
      <c r="F21" s="2" t="inlineStr">
        <is>
          <t>Oster</t>
        </is>
      </c>
      <c r="G21" s="2" t="inlineStr">
        <is>
          <t>Francisca Díaz</t>
        </is>
      </c>
      <c r="H21" s="2" t="inlineStr">
        <is>
          <t>Transferencia</t>
        </is>
      </c>
      <c r="I21" s="4" t="n">
        <v>69990</v>
      </c>
      <c r="J21" s="5" t="n">
        <v>2</v>
      </c>
      <c r="K21" s="5" t="n">
        <v>65</v>
      </c>
      <c r="L21" s="6" t="n">
        <v>0.1</v>
      </c>
      <c r="M21" s="7">
        <f>I21*J21*(1-L21)</f>
        <v/>
      </c>
    </row>
    <row r="22">
      <c r="A22" s="2" t="inlineStr">
        <is>
          <t>V-0021</t>
        </is>
      </c>
      <c r="B22" s="3" t="n">
        <v>46054</v>
      </c>
      <c r="C22" s="2" t="inlineStr">
        <is>
          <t>Coquimbo</t>
        </is>
      </c>
      <c r="D22" s="2" t="inlineStr">
        <is>
          <t>Secadora 9kg</t>
        </is>
      </c>
      <c r="E22" s="2" t="inlineStr">
        <is>
          <t>Lavado</t>
        </is>
      </c>
      <c r="F22" s="2" t="inlineStr">
        <is>
          <t>Whirlpool</t>
        </is>
      </c>
      <c r="G22" s="2" t="inlineStr">
        <is>
          <t>Javier Castro</t>
        </is>
      </c>
      <c r="H22" s="2" t="inlineStr">
        <is>
          <t>Efectivo</t>
        </is>
      </c>
      <c r="I22" s="4" t="n">
        <v>379990</v>
      </c>
      <c r="J22" s="5" t="n">
        <v>4</v>
      </c>
      <c r="K22" s="5" t="n">
        <v>51</v>
      </c>
      <c r="L22" s="6" t="n">
        <v>0.05</v>
      </c>
      <c r="M22" s="7">
        <f>I22*J22*(1-L22)</f>
        <v/>
      </c>
    </row>
    <row r="23">
      <c r="A23" s="2" t="inlineStr">
        <is>
          <t>V-0022</t>
        </is>
      </c>
      <c r="B23" s="3" t="n">
        <v>46273</v>
      </c>
      <c r="C23" s="2" t="inlineStr">
        <is>
          <t>Antofagasta</t>
        </is>
      </c>
      <c r="D23" s="2" t="inlineStr">
        <is>
          <t>Lavadora Carga Frontal 8kg</t>
        </is>
      </c>
      <c r="E23" s="2" t="inlineStr">
        <is>
          <t>Lavado</t>
        </is>
      </c>
      <c r="F23" s="2" t="inlineStr">
        <is>
          <t>LG</t>
        </is>
      </c>
      <c r="G23" s="2" t="inlineStr">
        <is>
          <t>Camila Rojas</t>
        </is>
      </c>
      <c r="H23" s="2" t="inlineStr">
        <is>
          <t>Tarjeta de débito</t>
        </is>
      </c>
      <c r="I23" s="4" t="n">
        <v>329990</v>
      </c>
      <c r="J23" s="5" t="n">
        <v>1</v>
      </c>
      <c r="K23" s="5" t="n">
        <v>26</v>
      </c>
      <c r="L23" s="6" t="n">
        <v>0.05</v>
      </c>
      <c r="M23" s="7">
        <f>I23*J23*(1-L23)</f>
        <v/>
      </c>
    </row>
    <row r="24">
      <c r="A24" s="2" t="inlineStr">
        <is>
          <t>V-0023</t>
        </is>
      </c>
      <c r="B24" s="3" t="n">
        <v>46083</v>
      </c>
      <c r="C24" s="2" t="inlineStr">
        <is>
          <t>Los Lagos</t>
        </is>
      </c>
      <c r="D24" s="2" t="inlineStr">
        <is>
          <t>Microondas 25L</t>
        </is>
      </c>
      <c r="E24" s="2" t="inlineStr">
        <is>
          <t>Cocina</t>
        </is>
      </c>
      <c r="F24" s="2" t="inlineStr">
        <is>
          <t>Oster</t>
        </is>
      </c>
      <c r="G24" s="2" t="inlineStr">
        <is>
          <t>Francisca Díaz</t>
        </is>
      </c>
      <c r="H24" s="2" t="inlineStr">
        <is>
          <t>Tarjeta de crédito</t>
        </is>
      </c>
      <c r="I24" s="4" t="n">
        <v>69990</v>
      </c>
      <c r="J24" s="5" t="n">
        <v>1</v>
      </c>
      <c r="K24" s="5" t="n">
        <v>0</v>
      </c>
      <c r="L24" s="6" t="n">
        <v>0.1</v>
      </c>
      <c r="M24" s="7">
        <f>I24*J24*(1-L24)</f>
        <v/>
      </c>
    </row>
    <row r="25">
      <c r="A25" s="2" t="inlineStr">
        <is>
          <t>V-0024</t>
        </is>
      </c>
      <c r="B25" s="3" t="n">
        <v>46078</v>
      </c>
      <c r="C25" s="2" t="inlineStr">
        <is>
          <t>Los Lagos</t>
        </is>
      </c>
      <c r="D25" s="2" t="inlineStr">
        <is>
          <t>Microondas 25L</t>
        </is>
      </c>
      <c r="E25" s="2" t="inlineStr">
        <is>
          <t>Cocina</t>
        </is>
      </c>
      <c r="F25" s="2" t="inlineStr">
        <is>
          <t>Oster</t>
        </is>
      </c>
      <c r="G25" s="2" t="inlineStr">
        <is>
          <t>Francisca Díaz</t>
        </is>
      </c>
      <c r="H25" s="2" t="inlineStr">
        <is>
          <t>Tarjeta de crédito</t>
        </is>
      </c>
      <c r="I25" s="4" t="n">
        <v>69990</v>
      </c>
      <c r="J25" s="5" t="n">
        <v>1</v>
      </c>
      <c r="K25" s="5" t="n">
        <v>26</v>
      </c>
      <c r="L25" s="6" t="n">
        <v>0.1</v>
      </c>
      <c r="M25" s="7">
        <f>I25*J25*(1-L25)</f>
        <v/>
      </c>
    </row>
    <row r="26">
      <c r="A26" s="2" t="inlineStr">
        <is>
          <t>V-0025</t>
        </is>
      </c>
      <c r="B26" s="3" t="n">
        <v>46103</v>
      </c>
      <c r="C26" s="2" t="inlineStr">
        <is>
          <t>Araucanía</t>
        </is>
      </c>
      <c r="D26" s="2" t="inlineStr">
        <is>
          <t>Aire Acondicionado 12000 BTU</t>
        </is>
      </c>
      <c r="E26" s="2" t="inlineStr">
        <is>
          <t>Climatización</t>
        </is>
      </c>
      <c r="F26" s="2" t="inlineStr">
        <is>
          <t>Midea</t>
        </is>
      </c>
      <c r="G26" s="2" t="inlineStr">
        <is>
          <t>Valentina Pérez</t>
        </is>
      </c>
      <c r="H26" s="2" t="inlineStr">
        <is>
          <t>Transferencia</t>
        </is>
      </c>
      <c r="I26" s="4" t="n">
        <v>299990</v>
      </c>
      <c r="J26" s="5" t="n">
        <v>4</v>
      </c>
      <c r="K26" s="5" t="n">
        <v>15</v>
      </c>
      <c r="L26" s="6" t="n">
        <v>0</v>
      </c>
      <c r="M26" s="7">
        <f>I26*J26*(1-L26)</f>
        <v/>
      </c>
    </row>
    <row r="27">
      <c r="A27" s="2" t="inlineStr">
        <is>
          <t>V-0026</t>
        </is>
      </c>
      <c r="B27" s="3" t="n">
        <v>46265</v>
      </c>
      <c r="C27" s="2" t="inlineStr">
        <is>
          <t>Coquimbo</t>
        </is>
      </c>
      <c r="D27" s="2" t="inlineStr">
        <is>
          <t>Freidora de Aire 5L</t>
        </is>
      </c>
      <c r="E27" s="2" t="inlineStr">
        <is>
          <t>Cocina</t>
        </is>
      </c>
      <c r="F27" s="2" t="inlineStr">
        <is>
          <t>Ariete</t>
        </is>
      </c>
      <c r="G27" s="2" t="inlineStr">
        <is>
          <t>Matías Muñoz</t>
        </is>
      </c>
      <c r="H27" s="2" t="inlineStr">
        <is>
          <t>Transferencia</t>
        </is>
      </c>
      <c r="I27" s="4" t="n">
        <v>59990</v>
      </c>
      <c r="J27" s="5" t="n">
        <v>1</v>
      </c>
      <c r="K27" s="5" t="n">
        <v>18</v>
      </c>
      <c r="L27" s="6" t="n">
        <v>0</v>
      </c>
      <c r="M27" s="7">
        <f>I27*J27*(1-L27)</f>
        <v/>
      </c>
    </row>
    <row r="28">
      <c r="A28" s="2" t="inlineStr">
        <is>
          <t>V-0027</t>
        </is>
      </c>
      <c r="B28" s="3" t="n">
        <v>46202</v>
      </c>
      <c r="C28" s="2" t="inlineStr">
        <is>
          <t>Araucanía</t>
        </is>
      </c>
      <c r="D28" s="2" t="inlineStr">
        <is>
          <t>Plancha a Vapor</t>
        </is>
      </c>
      <c r="E28" s="2" t="inlineStr">
        <is>
          <t>Cuidado de ropa</t>
        </is>
      </c>
      <c r="F28" s="2" t="inlineStr">
        <is>
          <t>Philips</t>
        </is>
      </c>
      <c r="G28" s="2" t="inlineStr">
        <is>
          <t>Matías Muñoz</t>
        </is>
      </c>
      <c r="H28" s="2" t="inlineStr">
        <is>
          <t>Tarjeta de débito</t>
        </is>
      </c>
      <c r="I28" s="4" t="n">
        <v>24990</v>
      </c>
      <c r="J28" s="5" t="n">
        <v>5</v>
      </c>
      <c r="K28" s="5" t="n">
        <v>2</v>
      </c>
      <c r="L28" s="6" t="n">
        <v>0</v>
      </c>
      <c r="M28" s="7">
        <f>I28*J28*(1-L28)</f>
        <v/>
      </c>
    </row>
    <row r="29">
      <c r="A29" s="2" t="inlineStr">
        <is>
          <t>V-0028</t>
        </is>
      </c>
      <c r="B29" s="3" t="n">
        <v>46212</v>
      </c>
      <c r="C29" s="2" t="inlineStr">
        <is>
          <t>Metropolitana</t>
        </is>
      </c>
      <c r="D29" s="2" t="inlineStr">
        <is>
          <t>Lavavajillas 12 Puestos</t>
        </is>
      </c>
      <c r="E29" s="2" t="inlineStr">
        <is>
          <t>Lavado</t>
        </is>
      </c>
      <c r="F29" s="2" t="inlineStr">
        <is>
          <t>Bosch</t>
        </is>
      </c>
      <c r="G29" s="2" t="inlineStr">
        <is>
          <t>Javier Castro</t>
        </is>
      </c>
      <c r="H29" s="2" t="inlineStr">
        <is>
          <t>Tarjeta de crédito</t>
        </is>
      </c>
      <c r="I29" s="4" t="n">
        <v>449990</v>
      </c>
      <c r="J29" s="5" t="n">
        <v>5</v>
      </c>
      <c r="K29" s="5" t="n">
        <v>38</v>
      </c>
      <c r="L29" s="6" t="n">
        <v>0.15</v>
      </c>
      <c r="M29" s="7">
        <f>I29*J29*(1-L29)</f>
        <v/>
      </c>
    </row>
    <row r="30">
      <c r="A30" s="2" t="inlineStr">
        <is>
          <t>V-0029</t>
        </is>
      </c>
      <c r="B30" s="3" t="n">
        <v>46160</v>
      </c>
      <c r="C30" s="2" t="inlineStr">
        <is>
          <t>Los Lagos</t>
        </is>
      </c>
      <c r="D30" s="2" t="inlineStr">
        <is>
          <t>Lavadora Carga Frontal 8kg</t>
        </is>
      </c>
      <c r="E30" s="2" t="inlineStr">
        <is>
          <t>Lavado</t>
        </is>
      </c>
      <c r="F30" s="2" t="inlineStr">
        <is>
          <t>LG</t>
        </is>
      </c>
      <c r="G30" s="2" t="inlineStr">
        <is>
          <t>Diego Soto</t>
        </is>
      </c>
      <c r="H30" s="2" t="inlineStr">
        <is>
          <t>Transferencia</t>
        </is>
      </c>
      <c r="I30" s="4" t="n">
        <v>329990</v>
      </c>
      <c r="J30" s="5" t="n">
        <v>2</v>
      </c>
      <c r="K30" s="5" t="n">
        <v>68</v>
      </c>
      <c r="L30" s="6" t="n">
        <v>0.1</v>
      </c>
      <c r="M30" s="7">
        <f>I30*J30*(1-L30)</f>
        <v/>
      </c>
    </row>
    <row r="31">
      <c r="A31" s="2" t="inlineStr">
        <is>
          <t>V-0030</t>
        </is>
      </c>
      <c r="B31" s="3" t="n">
        <v>46195</v>
      </c>
      <c r="C31" s="2" t="inlineStr">
        <is>
          <t>Biobío</t>
        </is>
      </c>
      <c r="D31" s="2" t="inlineStr">
        <is>
          <t>Lavavajillas 12 Puestos</t>
        </is>
      </c>
      <c r="E31" s="2" t="inlineStr">
        <is>
          <t>Lavado</t>
        </is>
      </c>
      <c r="F31" s="2" t="inlineStr">
        <is>
          <t>Bosch</t>
        </is>
      </c>
      <c r="G31" s="2" t="inlineStr">
        <is>
          <t>Francisca Díaz</t>
        </is>
      </c>
      <c r="H31" s="2" t="inlineStr">
        <is>
          <t>Tarjeta de débito</t>
        </is>
      </c>
      <c r="I31" s="4" t="n">
        <v>449990</v>
      </c>
      <c r="J31" s="5" t="n">
        <v>2</v>
      </c>
      <c r="K31" s="5" t="n">
        <v>51</v>
      </c>
      <c r="L31" s="6" t="n">
        <v>0.15</v>
      </c>
      <c r="M31" s="7">
        <f>I31*J31*(1-L31)</f>
        <v/>
      </c>
    </row>
    <row r="32">
      <c r="A32" s="2" t="inlineStr">
        <is>
          <t>V-0031</t>
        </is>
      </c>
      <c r="B32" s="3" t="n">
        <v>46129</v>
      </c>
      <c r="C32" s="2" t="inlineStr">
        <is>
          <t>Coquimbo</t>
        </is>
      </c>
      <c r="D32" s="2" t="inlineStr">
        <is>
          <t>Cocina a Gas 4 Platos</t>
        </is>
      </c>
      <c r="E32" s="2" t="inlineStr">
        <is>
          <t>Cocina</t>
        </is>
      </c>
      <c r="F32" s="2" t="inlineStr">
        <is>
          <t>Mademsa</t>
        </is>
      </c>
      <c r="G32" s="2" t="inlineStr">
        <is>
          <t>Valentina Pérez</t>
        </is>
      </c>
      <c r="H32" s="2" t="inlineStr">
        <is>
          <t>Tarjeta de crédito</t>
        </is>
      </c>
      <c r="I32" s="4" t="n">
        <v>189990</v>
      </c>
      <c r="J32" s="5" t="n">
        <v>1</v>
      </c>
      <c r="K32" s="5" t="n">
        <v>35</v>
      </c>
      <c r="L32" s="6" t="n">
        <v>0.05</v>
      </c>
      <c r="M32" s="7">
        <f>I32*J32*(1-L32)</f>
        <v/>
      </c>
    </row>
    <row r="33">
      <c r="A33" s="2" t="inlineStr">
        <is>
          <t>V-0032</t>
        </is>
      </c>
      <c r="B33" s="3" t="n">
        <v>46126</v>
      </c>
      <c r="C33" s="2" t="inlineStr">
        <is>
          <t>Los Lagos</t>
        </is>
      </c>
      <c r="D33" s="2" t="inlineStr">
        <is>
          <t>Aspiradora Robot</t>
        </is>
      </c>
      <c r="E33" s="2" t="inlineStr">
        <is>
          <t>Limpieza</t>
        </is>
      </c>
      <c r="F33" s="2" t="inlineStr">
        <is>
          <t>Xiaomi</t>
        </is>
      </c>
      <c r="G33" s="2" t="inlineStr">
        <is>
          <t>Matías Muñoz</t>
        </is>
      </c>
      <c r="H33" s="2" t="inlineStr">
        <is>
          <t>Transferencia</t>
        </is>
      </c>
      <c r="I33" s="4" t="n">
        <v>149990</v>
      </c>
      <c r="J33" s="5" t="n">
        <v>3</v>
      </c>
      <c r="K33" s="5" t="n">
        <v>10</v>
      </c>
      <c r="L33" s="6" t="n">
        <v>0</v>
      </c>
      <c r="M33" s="7">
        <f>I33*J33*(1-L33)</f>
        <v/>
      </c>
    </row>
    <row r="34">
      <c r="A34" s="2" t="inlineStr">
        <is>
          <t>V-0033</t>
        </is>
      </c>
      <c r="B34" s="3" t="n">
        <v>46143</v>
      </c>
      <c r="C34" s="2" t="inlineStr">
        <is>
          <t>Coquimbo</t>
        </is>
      </c>
      <c r="D34" s="2" t="inlineStr">
        <is>
          <t>Lavadora Carga Frontal 8kg</t>
        </is>
      </c>
      <c r="E34" s="2" t="inlineStr">
        <is>
          <t>Lavado</t>
        </is>
      </c>
      <c r="F34" s="2" t="inlineStr">
        <is>
          <t>LG</t>
        </is>
      </c>
      <c r="G34" s="2" t="inlineStr">
        <is>
          <t>Diego Soto</t>
        </is>
      </c>
      <c r="H34" s="2" t="inlineStr">
        <is>
          <t>Transferencia</t>
        </is>
      </c>
      <c r="I34" s="4" t="n">
        <v>329990</v>
      </c>
      <c r="J34" s="5" t="n">
        <v>2</v>
      </c>
      <c r="K34" s="5" t="n">
        <v>61</v>
      </c>
      <c r="L34" s="6" t="n">
        <v>0.1</v>
      </c>
      <c r="M34" s="7">
        <f>I34*J34*(1-L34)</f>
        <v/>
      </c>
    </row>
    <row r="35">
      <c r="A35" s="2" t="inlineStr">
        <is>
          <t>V-0034</t>
        </is>
      </c>
      <c r="B35" s="3" t="n">
        <v>46027</v>
      </c>
      <c r="C35" s="2" t="inlineStr">
        <is>
          <t>Coquimbo</t>
        </is>
      </c>
      <c r="D35" s="2" t="inlineStr">
        <is>
          <t>Hervidor Eléctrico 1.7L</t>
        </is>
      </c>
      <c r="E35" s="2" t="inlineStr">
        <is>
          <t>Cocina</t>
        </is>
      </c>
      <c r="F35" s="2" t="inlineStr">
        <is>
          <t>Oster</t>
        </is>
      </c>
      <c r="G35" s="2" t="inlineStr">
        <is>
          <t>Javier Castro</t>
        </is>
      </c>
      <c r="H35" s="2" t="inlineStr">
        <is>
          <t>Transferencia</t>
        </is>
      </c>
      <c r="I35" s="4" t="n">
        <v>19990</v>
      </c>
      <c r="J35" s="5" t="n">
        <v>6</v>
      </c>
      <c r="K35" s="5" t="n">
        <v>10</v>
      </c>
      <c r="L35" s="6" t="n">
        <v>0.15</v>
      </c>
      <c r="M35" s="7">
        <f>I35*J35*(1-L35)</f>
        <v/>
      </c>
    </row>
    <row r="36">
      <c r="A36" s="2" t="inlineStr">
        <is>
          <t>V-0035</t>
        </is>
      </c>
      <c r="B36" s="3" t="n">
        <v>46225</v>
      </c>
      <c r="C36" s="2" t="inlineStr">
        <is>
          <t>Biobío</t>
        </is>
      </c>
      <c r="D36" s="2" t="inlineStr">
        <is>
          <t>Lavadora Carga Frontal 8kg</t>
        </is>
      </c>
      <c r="E36" s="2" t="inlineStr">
        <is>
          <t>Lavado</t>
        </is>
      </c>
      <c r="F36" s="2" t="inlineStr">
        <is>
          <t>LG</t>
        </is>
      </c>
      <c r="G36" s="2" t="inlineStr">
        <is>
          <t>Matías Muñoz</t>
        </is>
      </c>
      <c r="H36" s="2" t="inlineStr">
        <is>
          <t>Tarjeta de débito</t>
        </is>
      </c>
      <c r="I36" s="4" t="n">
        <v>329990</v>
      </c>
      <c r="J36" s="5" t="n">
        <v>4</v>
      </c>
      <c r="K36" s="5" t="n">
        <v>42</v>
      </c>
      <c r="L36" s="6" t="n">
        <v>0</v>
      </c>
      <c r="M36" s="7">
        <f>I36*J36*(1-L36)</f>
        <v/>
      </c>
    </row>
    <row r="37">
      <c r="A37" s="2" t="inlineStr">
        <is>
          <t>V-0036</t>
        </is>
      </c>
      <c r="B37" s="3" t="n">
        <v>46229</v>
      </c>
      <c r="C37" s="2" t="inlineStr">
        <is>
          <t>Coquimbo</t>
        </is>
      </c>
      <c r="D37" s="2" t="inlineStr">
        <is>
          <t>Plancha a Vapor</t>
        </is>
      </c>
      <c r="E37" s="2" t="inlineStr">
        <is>
          <t>Cuidado de ropa</t>
        </is>
      </c>
      <c r="F37" s="2" t="inlineStr">
        <is>
          <t>Philips</t>
        </is>
      </c>
      <c r="G37" s="2" t="inlineStr">
        <is>
          <t>Matías Muñoz</t>
        </is>
      </c>
      <c r="H37" s="2" t="inlineStr">
        <is>
          <t>Tarjeta de crédito</t>
        </is>
      </c>
      <c r="I37" s="4" t="n">
        <v>24990</v>
      </c>
      <c r="J37" s="5" t="n">
        <v>6</v>
      </c>
      <c r="K37" s="5" t="n">
        <v>20</v>
      </c>
      <c r="L37" s="6" t="n">
        <v>0</v>
      </c>
      <c r="M37" s="7">
        <f>I37*J37*(1-L37)</f>
        <v/>
      </c>
    </row>
    <row r="38">
      <c r="A38" s="2" t="inlineStr">
        <is>
          <t>V-0037</t>
        </is>
      </c>
      <c r="B38" s="3" t="n">
        <v>46041</v>
      </c>
      <c r="C38" s="2" t="inlineStr">
        <is>
          <t>Metropolitana</t>
        </is>
      </c>
      <c r="D38" s="2" t="inlineStr">
        <is>
          <t>Microondas 25L</t>
        </is>
      </c>
      <c r="E38" s="2" t="inlineStr">
        <is>
          <t>Cocina</t>
        </is>
      </c>
      <c r="F38" s="2" t="inlineStr">
        <is>
          <t>Oster</t>
        </is>
      </c>
      <c r="G38" s="2" t="inlineStr">
        <is>
          <t>Francisca Díaz</t>
        </is>
      </c>
      <c r="H38" s="2" t="inlineStr">
        <is>
          <t>Efectivo</t>
        </is>
      </c>
      <c r="I38" s="4" t="n">
        <v>69990</v>
      </c>
      <c r="J38" s="5" t="n">
        <v>6</v>
      </c>
      <c r="K38" s="5" t="n">
        <v>18</v>
      </c>
      <c r="L38" s="6" t="n">
        <v>0.1</v>
      </c>
      <c r="M38" s="7">
        <f>I38*J38*(1-L38)</f>
        <v/>
      </c>
    </row>
    <row r="39">
      <c r="A39" s="2" t="inlineStr">
        <is>
          <t>V-0038</t>
        </is>
      </c>
      <c r="B39" s="3" t="n">
        <v>46269</v>
      </c>
      <c r="C39" s="2" t="inlineStr">
        <is>
          <t>Los Lagos</t>
        </is>
      </c>
      <c r="D39" s="2" t="inlineStr">
        <is>
          <t>Hervidor Eléctrico 1.7L</t>
        </is>
      </c>
      <c r="E39" s="2" t="inlineStr">
        <is>
          <t>Cocina</t>
        </is>
      </c>
      <c r="F39" s="2" t="inlineStr">
        <is>
          <t>Oster</t>
        </is>
      </c>
      <c r="G39" s="2" t="inlineStr">
        <is>
          <t>Diego Soto</t>
        </is>
      </c>
      <c r="H39" s="2" t="inlineStr">
        <is>
          <t>Tarjeta de débito</t>
        </is>
      </c>
      <c r="I39" s="4" t="n">
        <v>19990</v>
      </c>
      <c r="J39" s="5" t="n">
        <v>1</v>
      </c>
      <c r="K39" s="5" t="n">
        <v>1</v>
      </c>
      <c r="L39" s="6" t="n">
        <v>0.15</v>
      </c>
      <c r="M39" s="7">
        <f>I39*J39*(1-L39)</f>
        <v/>
      </c>
    </row>
    <row r="40">
      <c r="A40" s="2" t="inlineStr">
        <is>
          <t>V-0039</t>
        </is>
      </c>
      <c r="B40" s="3" t="n">
        <v>46079</v>
      </c>
      <c r="C40" s="2" t="inlineStr">
        <is>
          <t>Metropolitana</t>
        </is>
      </c>
      <c r="D40" s="2" t="inlineStr">
        <is>
          <t>Secadora 9kg</t>
        </is>
      </c>
      <c r="E40" s="2" t="inlineStr">
        <is>
          <t>Lavado</t>
        </is>
      </c>
      <c r="F40" s="2" t="inlineStr">
        <is>
          <t>Whirlpool</t>
        </is>
      </c>
      <c r="G40" s="2" t="inlineStr">
        <is>
          <t>Matías Muñoz</t>
        </is>
      </c>
      <c r="H40" s="2" t="inlineStr">
        <is>
          <t>Tarjeta de débito</t>
        </is>
      </c>
      <c r="I40" s="4" t="n">
        <v>379990</v>
      </c>
      <c r="J40" s="5" t="n">
        <v>2</v>
      </c>
      <c r="K40" s="5" t="n">
        <v>3</v>
      </c>
      <c r="L40" s="6" t="n">
        <v>0</v>
      </c>
      <c r="M40" s="7">
        <f>I40*J40*(1-L40)</f>
        <v/>
      </c>
    </row>
    <row r="41">
      <c r="A41" s="2" t="inlineStr">
        <is>
          <t>V-0040</t>
        </is>
      </c>
      <c r="B41" s="3" t="n">
        <v>46176</v>
      </c>
      <c r="C41" s="2" t="inlineStr">
        <is>
          <t>Biobío</t>
        </is>
      </c>
      <c r="D41" s="2" t="inlineStr">
        <is>
          <t>Cocina a Gas 4 Platos</t>
        </is>
      </c>
      <c r="E41" s="2" t="inlineStr">
        <is>
          <t>Cocina</t>
        </is>
      </c>
      <c r="F41" s="2" t="inlineStr">
        <is>
          <t>Mademsa</t>
        </is>
      </c>
      <c r="G41" s="2" t="inlineStr">
        <is>
          <t>Francisca Díaz</t>
        </is>
      </c>
      <c r="H41" s="2" t="inlineStr">
        <is>
          <t>Transferencia</t>
        </is>
      </c>
      <c r="I41" s="4" t="n">
        <v>189990</v>
      </c>
      <c r="J41" s="5" t="n">
        <v>3</v>
      </c>
      <c r="K41" s="5" t="n">
        <v>69</v>
      </c>
      <c r="L41" s="6" t="n">
        <v>0.05</v>
      </c>
      <c r="M41" s="7">
        <f>I41*J41*(1-L41)</f>
        <v/>
      </c>
    </row>
    <row r="42">
      <c r="A42" s="2" t="inlineStr">
        <is>
          <t>V-0041</t>
        </is>
      </c>
      <c r="B42" s="3" t="n">
        <v>46058</v>
      </c>
      <c r="C42" s="2" t="inlineStr">
        <is>
          <t>Los Lagos</t>
        </is>
      </c>
      <c r="D42" s="2" t="inlineStr">
        <is>
          <t>Microondas 25L</t>
        </is>
      </c>
      <c r="E42" s="2" t="inlineStr">
        <is>
          <t>Cocina</t>
        </is>
      </c>
      <c r="F42" s="2" t="inlineStr">
        <is>
          <t>Oster</t>
        </is>
      </c>
      <c r="G42" s="2" t="inlineStr">
        <is>
          <t>Matías Muñoz</t>
        </is>
      </c>
      <c r="H42" s="2" t="inlineStr">
        <is>
          <t>Efectivo</t>
        </is>
      </c>
      <c r="I42" s="4" t="n">
        <v>69990</v>
      </c>
      <c r="J42" s="5" t="n">
        <v>5</v>
      </c>
      <c r="K42" s="5" t="n">
        <v>16</v>
      </c>
      <c r="L42" s="6" t="n">
        <v>0.1</v>
      </c>
      <c r="M42" s="7">
        <f>I42*J42*(1-L42)</f>
        <v/>
      </c>
    </row>
    <row r="43">
      <c r="A43" s="2" t="inlineStr">
        <is>
          <t>V-0042</t>
        </is>
      </c>
      <c r="B43" s="3" t="n">
        <v>46295</v>
      </c>
      <c r="C43" s="2" t="inlineStr">
        <is>
          <t>Arica y Parinacota</t>
        </is>
      </c>
      <c r="D43" s="2" t="inlineStr">
        <is>
          <t>Microondas 25L</t>
        </is>
      </c>
      <c r="E43" s="2" t="inlineStr">
        <is>
          <t>Cocina</t>
        </is>
      </c>
      <c r="F43" s="2" t="inlineStr">
        <is>
          <t>Oster</t>
        </is>
      </c>
      <c r="G43" s="2" t="inlineStr">
        <is>
          <t>Matías Muñoz</t>
        </is>
      </c>
      <c r="H43" s="2" t="inlineStr">
        <is>
          <t>Tarjeta de débito</t>
        </is>
      </c>
      <c r="I43" s="4" t="n">
        <v>69990</v>
      </c>
      <c r="J43" s="5" t="n">
        <v>5</v>
      </c>
      <c r="K43" s="5" t="n">
        <v>0</v>
      </c>
      <c r="L43" s="6" t="n">
        <v>0</v>
      </c>
      <c r="M43" s="7">
        <f>I43*J43*(1-L43)</f>
        <v/>
      </c>
    </row>
    <row r="44">
      <c r="A44" s="2" t="inlineStr">
        <is>
          <t>V-0043</t>
        </is>
      </c>
      <c r="B44" s="3" t="n">
        <v>46099</v>
      </c>
      <c r="C44" s="2" t="inlineStr">
        <is>
          <t>Coquimbo</t>
        </is>
      </c>
      <c r="D44" s="2" t="inlineStr">
        <is>
          <t>Microondas 25L</t>
        </is>
      </c>
      <c r="E44" s="2" t="inlineStr">
        <is>
          <t>Cocina</t>
        </is>
      </c>
      <c r="F44" s="2" t="inlineStr">
        <is>
          <t>Oster</t>
        </is>
      </c>
      <c r="G44" s="2" t="inlineStr">
        <is>
          <t>Francisca Díaz</t>
        </is>
      </c>
      <c r="H44" s="2" t="inlineStr">
        <is>
          <t>Tarjeta de crédito</t>
        </is>
      </c>
      <c r="I44" s="4" t="n">
        <v>69990</v>
      </c>
      <c r="J44" s="5" t="n">
        <v>5</v>
      </c>
      <c r="K44" s="5" t="n">
        <v>7</v>
      </c>
      <c r="L44" s="6" t="n">
        <v>0</v>
      </c>
      <c r="M44" s="7">
        <f>I44*J44*(1-L44)</f>
        <v/>
      </c>
    </row>
    <row r="45">
      <c r="A45" s="2" t="inlineStr">
        <is>
          <t>V-0044</t>
        </is>
      </c>
      <c r="B45" s="3" t="n">
        <v>46292</v>
      </c>
      <c r="C45" s="2" t="inlineStr">
        <is>
          <t>Coquimbo</t>
        </is>
      </c>
      <c r="D45" s="2" t="inlineStr">
        <is>
          <t>Secadora 9kg</t>
        </is>
      </c>
      <c r="E45" s="2" t="inlineStr">
        <is>
          <t>Lavado</t>
        </is>
      </c>
      <c r="F45" s="2" t="inlineStr">
        <is>
          <t>Whirlpool</t>
        </is>
      </c>
      <c r="G45" s="2" t="inlineStr">
        <is>
          <t>Camila Rojas</t>
        </is>
      </c>
      <c r="H45" s="2" t="inlineStr">
        <is>
          <t>Tarjeta de crédito</t>
        </is>
      </c>
      <c r="I45" s="4" t="n">
        <v>379990</v>
      </c>
      <c r="J45" s="5" t="n">
        <v>2</v>
      </c>
      <c r="K45" s="5" t="n">
        <v>24</v>
      </c>
      <c r="L45" s="6" t="n">
        <v>0</v>
      </c>
      <c r="M45" s="7">
        <f>I45*J45*(1-L45)</f>
        <v/>
      </c>
    </row>
    <row r="46">
      <c r="A46" s="2" t="inlineStr">
        <is>
          <t>V-0045</t>
        </is>
      </c>
      <c r="B46" s="3" t="n">
        <v>46077</v>
      </c>
      <c r="C46" s="2" t="inlineStr">
        <is>
          <t>Coquimbo</t>
        </is>
      </c>
      <c r="D46" s="2" t="inlineStr">
        <is>
          <t>Refrigerador No Frost 350L</t>
        </is>
      </c>
      <c r="E46" s="2" t="inlineStr">
        <is>
          <t>Refrigeración</t>
        </is>
      </c>
      <c r="F46" s="2" t="inlineStr">
        <is>
          <t>Samsung</t>
        </is>
      </c>
      <c r="G46" s="2" t="inlineStr">
        <is>
          <t>Francisca Díaz</t>
        </is>
      </c>
      <c r="H46" s="2" t="inlineStr">
        <is>
          <t>Tarjeta de crédito</t>
        </is>
      </c>
      <c r="I46" s="4" t="n">
        <v>399990</v>
      </c>
      <c r="J46" s="5" t="n">
        <v>1</v>
      </c>
      <c r="K46" s="5" t="n">
        <v>56</v>
      </c>
      <c r="L46" s="6" t="n">
        <v>0</v>
      </c>
      <c r="M46" s="7">
        <f>I46*J46*(1-L46)</f>
        <v/>
      </c>
    </row>
    <row r="47">
      <c r="A47" s="2" t="inlineStr">
        <is>
          <t>V-0046</t>
        </is>
      </c>
      <c r="B47" s="3" t="n">
        <v>46285</v>
      </c>
      <c r="C47" s="2" t="inlineStr">
        <is>
          <t>Biobío</t>
        </is>
      </c>
      <c r="D47" s="2" t="inlineStr">
        <is>
          <t>Hervidor Eléctrico 1.7L</t>
        </is>
      </c>
      <c r="E47" s="2" t="inlineStr">
        <is>
          <t>Cocina</t>
        </is>
      </c>
      <c r="F47" s="2" t="inlineStr">
        <is>
          <t>Oster</t>
        </is>
      </c>
      <c r="G47" s="2" t="inlineStr">
        <is>
          <t>Javier Castro</t>
        </is>
      </c>
      <c r="H47" s="2" t="inlineStr">
        <is>
          <t>Transferencia</t>
        </is>
      </c>
      <c r="I47" s="4" t="n">
        <v>19990</v>
      </c>
      <c r="J47" s="5" t="n">
        <v>4</v>
      </c>
      <c r="K47" s="5" t="n">
        <v>65</v>
      </c>
      <c r="L47" s="6" t="n">
        <v>0.1</v>
      </c>
      <c r="M47" s="7">
        <f>I47*J47*(1-L47)</f>
        <v/>
      </c>
    </row>
    <row r="48">
      <c r="A48" s="2" t="inlineStr">
        <is>
          <t>V-0047</t>
        </is>
      </c>
      <c r="B48" s="3" t="n">
        <v>46286</v>
      </c>
      <c r="C48" s="2" t="inlineStr">
        <is>
          <t>Biobío</t>
        </is>
      </c>
      <c r="D48" s="2" t="inlineStr">
        <is>
          <t>Freidora de Aire 5L</t>
        </is>
      </c>
      <c r="E48" s="2" t="inlineStr">
        <is>
          <t>Cocina</t>
        </is>
      </c>
      <c r="F48" s="2" t="inlineStr">
        <is>
          <t>Ariete</t>
        </is>
      </c>
      <c r="G48" s="2" t="inlineStr">
        <is>
          <t>Javier Castro</t>
        </is>
      </c>
      <c r="H48" s="2" t="inlineStr">
        <is>
          <t>Transferencia</t>
        </is>
      </c>
      <c r="I48" s="4" t="n">
        <v>59990</v>
      </c>
      <c r="J48" s="5" t="n">
        <v>5</v>
      </c>
      <c r="K48" s="5" t="n">
        <v>25</v>
      </c>
      <c r="L48" s="6" t="n">
        <v>0.05</v>
      </c>
      <c r="M48" s="7">
        <f>I48*J48*(1-L48)</f>
        <v/>
      </c>
    </row>
    <row r="49">
      <c r="A49" s="2" t="inlineStr">
        <is>
          <t>V-0048</t>
        </is>
      </c>
      <c r="B49" s="3" t="n">
        <v>46240</v>
      </c>
      <c r="C49" s="2" t="inlineStr">
        <is>
          <t>Valparaíso</t>
        </is>
      </c>
      <c r="D49" s="2" t="inlineStr">
        <is>
          <t>Microondas 25L</t>
        </is>
      </c>
      <c r="E49" s="2" t="inlineStr">
        <is>
          <t>Cocina</t>
        </is>
      </c>
      <c r="F49" s="2" t="inlineStr">
        <is>
          <t>Oster</t>
        </is>
      </c>
      <c r="G49" s="2" t="inlineStr">
        <is>
          <t>Matías Muñoz</t>
        </is>
      </c>
      <c r="H49" s="2" t="inlineStr">
        <is>
          <t>Efectivo</t>
        </is>
      </c>
      <c r="I49" s="4" t="n">
        <v>69990</v>
      </c>
      <c r="J49" s="5" t="n">
        <v>3</v>
      </c>
      <c r="K49" s="5" t="n">
        <v>9</v>
      </c>
      <c r="L49" s="6" t="n">
        <v>0.15</v>
      </c>
      <c r="M49" s="7">
        <f>I49*J49*(1-L49)</f>
        <v/>
      </c>
    </row>
    <row r="50">
      <c r="A50" s="2" t="inlineStr">
        <is>
          <t>V-0049</t>
        </is>
      </c>
      <c r="B50" s="3" t="n">
        <v>46246</v>
      </c>
      <c r="C50" s="2" t="inlineStr">
        <is>
          <t>Valparaíso</t>
        </is>
      </c>
      <c r="D50" s="2" t="inlineStr">
        <is>
          <t>Cocina a Gas 4 Platos</t>
        </is>
      </c>
      <c r="E50" s="2" t="inlineStr">
        <is>
          <t>Cocina</t>
        </is>
      </c>
      <c r="F50" s="2" t="inlineStr">
        <is>
          <t>Mademsa</t>
        </is>
      </c>
      <c r="G50" s="2" t="inlineStr">
        <is>
          <t>Diego Soto</t>
        </is>
      </c>
      <c r="H50" s="2" t="inlineStr">
        <is>
          <t>Transferencia</t>
        </is>
      </c>
      <c r="I50" s="4" t="n">
        <v>189990</v>
      </c>
      <c r="J50" s="5" t="n">
        <v>1</v>
      </c>
      <c r="K50" s="5" t="n">
        <v>19</v>
      </c>
      <c r="L50" s="6" t="n">
        <v>0.15</v>
      </c>
      <c r="M50" s="7">
        <f>I50*J50*(1-L50)</f>
        <v/>
      </c>
    </row>
    <row r="51">
      <c r="A51" s="2" t="inlineStr">
        <is>
          <t>V-0050</t>
        </is>
      </c>
      <c r="B51" s="3" t="n">
        <v>46214</v>
      </c>
      <c r="C51" s="2" t="inlineStr">
        <is>
          <t>Metropolitana</t>
        </is>
      </c>
      <c r="D51" s="2" t="inlineStr">
        <is>
          <t>Secadora 9kg</t>
        </is>
      </c>
      <c r="E51" s="2" t="inlineStr">
        <is>
          <t>Lavado</t>
        </is>
      </c>
      <c r="F51" s="2" t="inlineStr">
        <is>
          <t>Whirlpool</t>
        </is>
      </c>
      <c r="G51" s="2" t="inlineStr">
        <is>
          <t>Valentina Pérez</t>
        </is>
      </c>
      <c r="H51" s="2" t="inlineStr">
        <is>
          <t>Tarjeta de débito</t>
        </is>
      </c>
      <c r="I51" s="4" t="n">
        <v>379990</v>
      </c>
      <c r="J51" s="5" t="n">
        <v>4</v>
      </c>
      <c r="K51" s="5" t="n">
        <v>28</v>
      </c>
      <c r="L51" s="6" t="n">
        <v>0.15</v>
      </c>
      <c r="M51" s="7">
        <f>I51*J51*(1-L51)</f>
        <v/>
      </c>
    </row>
    <row r="52">
      <c r="A52" s="2" t="inlineStr">
        <is>
          <t>V-0051</t>
        </is>
      </c>
      <c r="B52" s="3" t="n">
        <v>46230</v>
      </c>
      <c r="C52" s="2" t="inlineStr">
        <is>
          <t>Coquimbo</t>
        </is>
      </c>
      <c r="D52" s="2" t="inlineStr">
        <is>
          <t>Lavadora Carga Frontal 8kg</t>
        </is>
      </c>
      <c r="E52" s="2" t="inlineStr">
        <is>
          <t>Lavado</t>
        </is>
      </c>
      <c r="F52" s="2" t="inlineStr">
        <is>
          <t>LG</t>
        </is>
      </c>
      <c r="G52" s="2" t="inlineStr">
        <is>
          <t>Diego Soto</t>
        </is>
      </c>
      <c r="H52" s="2" t="inlineStr">
        <is>
          <t>Tarjeta de débito</t>
        </is>
      </c>
      <c r="I52" s="4" t="n">
        <v>329990</v>
      </c>
      <c r="J52" s="5" t="n">
        <v>2</v>
      </c>
      <c r="K52" s="5" t="n">
        <v>55</v>
      </c>
      <c r="L52" s="6" t="n">
        <v>0.1</v>
      </c>
      <c r="M52" s="7">
        <f>I52*J52*(1-L52)</f>
        <v/>
      </c>
    </row>
    <row r="53">
      <c r="A53" s="2" t="inlineStr">
        <is>
          <t>V-0052</t>
        </is>
      </c>
      <c r="B53" s="3" t="n">
        <v>46200</v>
      </c>
      <c r="C53" s="2" t="inlineStr">
        <is>
          <t>Antofagasta</t>
        </is>
      </c>
      <c r="D53" s="2" t="inlineStr">
        <is>
          <t>Aire Acondicionado 12000 BTU</t>
        </is>
      </c>
      <c r="E53" s="2" t="inlineStr">
        <is>
          <t>Climatización</t>
        </is>
      </c>
      <c r="F53" s="2" t="inlineStr">
        <is>
          <t>Midea</t>
        </is>
      </c>
      <c r="G53" s="2" t="inlineStr">
        <is>
          <t>Diego Soto</t>
        </is>
      </c>
      <c r="H53" s="2" t="inlineStr">
        <is>
          <t>Transferencia</t>
        </is>
      </c>
      <c r="I53" s="4" t="n">
        <v>299990</v>
      </c>
      <c r="J53" s="5" t="n">
        <v>3</v>
      </c>
      <c r="K53" s="5" t="n">
        <v>11</v>
      </c>
      <c r="L53" s="6" t="n">
        <v>0.15</v>
      </c>
      <c r="M53" s="7">
        <f>I53*J53*(1-L53)</f>
        <v/>
      </c>
    </row>
    <row r="54">
      <c r="A54" s="2" t="inlineStr">
        <is>
          <t>V-0053</t>
        </is>
      </c>
      <c r="B54" s="3" t="n">
        <v>46036</v>
      </c>
      <c r="C54" s="2" t="inlineStr">
        <is>
          <t>Los Lagos</t>
        </is>
      </c>
      <c r="D54" s="2" t="inlineStr">
        <is>
          <t>Licuadora 600W</t>
        </is>
      </c>
      <c r="E54" s="2" t="inlineStr">
        <is>
          <t>Cocina</t>
        </is>
      </c>
      <c r="F54" s="2" t="inlineStr">
        <is>
          <t>Philips</t>
        </is>
      </c>
      <c r="G54" s="2" t="inlineStr">
        <is>
          <t>Francisca Díaz</t>
        </is>
      </c>
      <c r="H54" s="2" t="inlineStr">
        <is>
          <t>Efectivo</t>
        </is>
      </c>
      <c r="I54" s="4" t="n">
        <v>29990</v>
      </c>
      <c r="J54" s="5" t="n">
        <v>4</v>
      </c>
      <c r="K54" s="5" t="n">
        <v>2</v>
      </c>
      <c r="L54" s="6" t="n">
        <v>0.05</v>
      </c>
      <c r="M54" s="7">
        <f>I54*J54*(1-L54)</f>
        <v/>
      </c>
    </row>
    <row r="55">
      <c r="A55" s="2" t="inlineStr">
        <is>
          <t>V-0054</t>
        </is>
      </c>
      <c r="B55" s="3" t="n">
        <v>46291</v>
      </c>
      <c r="C55" s="2" t="inlineStr">
        <is>
          <t>Araucanía</t>
        </is>
      </c>
      <c r="D55" s="2" t="inlineStr">
        <is>
          <t>Licuadora 600W</t>
        </is>
      </c>
      <c r="E55" s="2" t="inlineStr">
        <is>
          <t>Cocina</t>
        </is>
      </c>
      <c r="F55" s="2" t="inlineStr">
        <is>
          <t>Philips</t>
        </is>
      </c>
      <c r="G55" s="2" t="inlineStr">
        <is>
          <t>Francisca Díaz</t>
        </is>
      </c>
      <c r="H55" s="2" t="inlineStr">
        <is>
          <t>Tarjeta de crédito</t>
        </is>
      </c>
      <c r="I55" s="4" t="n">
        <v>29990</v>
      </c>
      <c r="J55" s="5" t="n">
        <v>1</v>
      </c>
      <c r="K55" s="5" t="n">
        <v>29</v>
      </c>
      <c r="L55" s="6" t="n">
        <v>0</v>
      </c>
      <c r="M55" s="7">
        <f>I55*J55*(1-L55)</f>
        <v/>
      </c>
    </row>
    <row r="56">
      <c r="A56" s="2" t="inlineStr">
        <is>
          <t>V-0055</t>
        </is>
      </c>
      <c r="B56" s="3" t="n">
        <v>46162</v>
      </c>
      <c r="C56" s="2" t="inlineStr">
        <is>
          <t>Araucanía</t>
        </is>
      </c>
      <c r="D56" s="2" t="inlineStr">
        <is>
          <t>Lavadora Carga Frontal 8kg</t>
        </is>
      </c>
      <c r="E56" s="2" t="inlineStr">
        <is>
          <t>Lavado</t>
        </is>
      </c>
      <c r="F56" s="2" t="inlineStr">
        <is>
          <t>LG</t>
        </is>
      </c>
      <c r="G56" s="2" t="inlineStr">
        <is>
          <t>Camila Rojas</t>
        </is>
      </c>
      <c r="H56" s="2" t="inlineStr">
        <is>
          <t>Tarjeta de débito</t>
        </is>
      </c>
      <c r="I56" s="4" t="n">
        <v>329990</v>
      </c>
      <c r="J56" s="5" t="n">
        <v>3</v>
      </c>
      <c r="K56" s="5" t="n">
        <v>16</v>
      </c>
      <c r="L56" s="6" t="n">
        <v>0.05</v>
      </c>
      <c r="M56" s="7">
        <f>I56*J56*(1-L56)</f>
        <v/>
      </c>
    </row>
    <row r="57">
      <c r="A57" s="2" t="inlineStr">
        <is>
          <t>V-0056</t>
        </is>
      </c>
      <c r="B57" s="3" t="n">
        <v>46159</v>
      </c>
      <c r="C57" s="2" t="inlineStr">
        <is>
          <t>Antofagasta</t>
        </is>
      </c>
      <c r="D57" s="2" t="inlineStr">
        <is>
          <t>Secadora 9kg</t>
        </is>
      </c>
      <c r="E57" s="2" t="inlineStr">
        <is>
          <t>Lavado</t>
        </is>
      </c>
      <c r="F57" s="2" t="inlineStr">
        <is>
          <t>Whirlpool</t>
        </is>
      </c>
      <c r="G57" s="2" t="inlineStr">
        <is>
          <t>Diego Soto</t>
        </is>
      </c>
      <c r="H57" s="2" t="inlineStr">
        <is>
          <t>Efectivo</t>
        </is>
      </c>
      <c r="I57" s="4" t="n">
        <v>379990</v>
      </c>
      <c r="J57" s="5" t="n">
        <v>6</v>
      </c>
      <c r="K57" s="5" t="n">
        <v>41</v>
      </c>
      <c r="L57" s="6" t="n">
        <v>0</v>
      </c>
      <c r="M57" s="7">
        <f>I57*J57*(1-L57)</f>
        <v/>
      </c>
    </row>
    <row r="58">
      <c r="A58" s="2" t="inlineStr">
        <is>
          <t>V-0057</t>
        </is>
      </c>
      <c r="B58" s="3" t="n">
        <v>46056</v>
      </c>
      <c r="C58" s="2" t="inlineStr">
        <is>
          <t>Metropolitana</t>
        </is>
      </c>
      <c r="D58" s="2" t="inlineStr">
        <is>
          <t>Aspiradora Robot</t>
        </is>
      </c>
      <c r="E58" s="2" t="inlineStr">
        <is>
          <t>Limpieza</t>
        </is>
      </c>
      <c r="F58" s="2" t="inlineStr">
        <is>
          <t>Xiaomi</t>
        </is>
      </c>
      <c r="G58" s="2" t="inlineStr">
        <is>
          <t>Matías Muñoz</t>
        </is>
      </c>
      <c r="H58" s="2" t="inlineStr">
        <is>
          <t>Tarjeta de crédito</t>
        </is>
      </c>
      <c r="I58" s="4" t="n">
        <v>149990</v>
      </c>
      <c r="J58" s="5" t="n">
        <v>3</v>
      </c>
      <c r="K58" s="5" t="n">
        <v>2</v>
      </c>
      <c r="L58" s="6" t="n">
        <v>0.15</v>
      </c>
      <c r="M58" s="7">
        <f>I58*J58*(1-L58)</f>
        <v/>
      </c>
    </row>
    <row r="59">
      <c r="A59" s="2" t="inlineStr">
        <is>
          <t>V-0058</t>
        </is>
      </c>
      <c r="B59" s="3" t="n">
        <v>46160</v>
      </c>
      <c r="C59" s="2" t="inlineStr">
        <is>
          <t>Valparaíso</t>
        </is>
      </c>
      <c r="D59" s="2" t="inlineStr">
        <is>
          <t>Lavadora Carga Frontal 8kg</t>
        </is>
      </c>
      <c r="E59" s="2" t="inlineStr">
        <is>
          <t>Lavado</t>
        </is>
      </c>
      <c r="F59" s="2" t="inlineStr">
        <is>
          <t>LG</t>
        </is>
      </c>
      <c r="G59" s="2" t="inlineStr">
        <is>
          <t>Francisca Díaz</t>
        </is>
      </c>
      <c r="H59" s="2" t="inlineStr">
        <is>
          <t>Tarjeta de débito</t>
        </is>
      </c>
      <c r="I59" s="4" t="n">
        <v>329990</v>
      </c>
      <c r="J59" s="5" t="n">
        <v>1</v>
      </c>
      <c r="K59" s="5" t="n">
        <v>33</v>
      </c>
      <c r="L59" s="6" t="n">
        <v>0</v>
      </c>
      <c r="M59" s="7">
        <f>I59*J59*(1-L59)</f>
        <v/>
      </c>
    </row>
    <row r="60">
      <c r="A60" s="2" t="inlineStr">
        <is>
          <t>V-0059</t>
        </is>
      </c>
      <c r="B60" s="3" t="n">
        <v>46032</v>
      </c>
      <c r="C60" s="2" t="inlineStr">
        <is>
          <t>Los Lagos</t>
        </is>
      </c>
      <c r="D60" s="2" t="inlineStr">
        <is>
          <t>Freidora de Aire 5L</t>
        </is>
      </c>
      <c r="E60" s="2" t="inlineStr">
        <is>
          <t>Cocina</t>
        </is>
      </c>
      <c r="F60" s="2" t="inlineStr">
        <is>
          <t>Ariete</t>
        </is>
      </c>
      <c r="G60" s="2" t="inlineStr">
        <is>
          <t>Francisca Díaz</t>
        </is>
      </c>
      <c r="H60" s="2" t="inlineStr">
        <is>
          <t>Efectivo</t>
        </is>
      </c>
      <c r="I60" s="4" t="n">
        <v>59990</v>
      </c>
      <c r="J60" s="5" t="n">
        <v>3</v>
      </c>
      <c r="K60" s="5" t="n">
        <v>79</v>
      </c>
      <c r="L60" s="6" t="n">
        <v>0</v>
      </c>
      <c r="M60" s="7">
        <f>I60*J60*(1-L60)</f>
        <v/>
      </c>
    </row>
    <row r="61">
      <c r="A61" s="2" t="inlineStr">
        <is>
          <t>V-0060</t>
        </is>
      </c>
      <c r="B61" s="3" t="n">
        <v>46296</v>
      </c>
      <c r="C61" s="2" t="inlineStr">
        <is>
          <t>Biobío</t>
        </is>
      </c>
      <c r="D61" s="2" t="inlineStr">
        <is>
          <t>Refrigerador No Frost 350L</t>
        </is>
      </c>
      <c r="E61" s="2" t="inlineStr">
        <is>
          <t>Refrigeración</t>
        </is>
      </c>
      <c r="F61" s="2" t="inlineStr">
        <is>
          <t>Samsung</t>
        </is>
      </c>
      <c r="G61" s="2" t="inlineStr">
        <is>
          <t>Camila Rojas</t>
        </is>
      </c>
      <c r="H61" s="2" t="inlineStr">
        <is>
          <t>Tarjeta de débito</t>
        </is>
      </c>
      <c r="I61" s="4" t="n">
        <v>399990</v>
      </c>
      <c r="J61" s="5" t="n">
        <v>3</v>
      </c>
      <c r="K61" s="5" t="n">
        <v>6</v>
      </c>
      <c r="L61" s="6" t="n">
        <v>0</v>
      </c>
      <c r="M61" s="7">
        <f>I61*J61*(1-L61)</f>
        <v/>
      </c>
    </row>
    <row r="63">
      <c r="A63" s="8" t="inlineStr">
        <is>
          <t>TOTAL</t>
        </is>
      </c>
      <c r="J63" s="8">
        <f>SUM(J2:J61)</f>
        <v/>
      </c>
      <c r="M63" s="9">
        <f>SUM(M2:M61)</f>
        <v/>
      </c>
    </row>
    <row r="65">
      <c r="A65" s="10" t="inlineStr">
        <is>
          <t>Notas: Precio en CLP (valores de ejemplo). Subtotal = Precio × Cantidad × (1 − Descuento). Datos ficticios para fines de práctica; celdas en azul son datos de entrada.</t>
        </is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2026-10-03T19:47:10Z</dcterms:created>
  <dcterms:modified xsi:type="dcterms:W3CDTF">2026-10-03T19:47:10Z</dcterms:modified>
</cp:coreProperties>
</file>